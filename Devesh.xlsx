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00235E-8D66-4098-9A0B-61AEE1254A81}" xr6:coauthVersionLast="47" xr6:coauthVersionMax="47" xr10:uidLastSave="{00000000-0000-0000-0000-000000000000}"/>
  <bookViews>
    <workbookView xWindow="-108" yWindow="-108" windowWidth="23256" windowHeight="12456" xr2:uid="{3EE30FEB-203C-4379-8263-26B61E7E6D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E11" i="1" s="1"/>
  <c r="D12" i="1"/>
  <c r="E12" i="1" s="1"/>
  <c r="D27" i="1"/>
  <c r="E27" i="1" s="1"/>
  <c r="D28" i="1"/>
  <c r="E28" i="1" s="1"/>
  <c r="B5" i="1"/>
  <c r="D13" i="1" s="1"/>
  <c r="E13" i="1" s="1"/>
  <c r="D26" i="1" l="1"/>
  <c r="E26" i="1" s="1"/>
  <c r="F33" i="1" s="1"/>
  <c r="D10" i="1"/>
  <c r="E10" i="1" s="1"/>
  <c r="D25" i="1"/>
  <c r="E25" i="1" s="1"/>
  <c r="D24" i="1"/>
  <c r="E24" i="1" s="1"/>
  <c r="D9" i="1"/>
  <c r="E9" i="1" s="1"/>
  <c r="F28" i="1" s="1"/>
  <c r="D23" i="1"/>
  <c r="E23" i="1" s="1"/>
  <c r="D38" i="1"/>
  <c r="E38" i="1" s="1"/>
  <c r="D22" i="1"/>
  <c r="E22" i="1" s="1"/>
  <c r="D37" i="1"/>
  <c r="E37" i="1" s="1"/>
  <c r="D21" i="1"/>
  <c r="E21" i="1" s="1"/>
  <c r="D36" i="1"/>
  <c r="E36" i="1" s="1"/>
  <c r="D20" i="1"/>
  <c r="E20" i="1" s="1"/>
  <c r="D35" i="1"/>
  <c r="E35" i="1" s="1"/>
  <c r="D19" i="1"/>
  <c r="E19" i="1" s="1"/>
  <c r="D34" i="1"/>
  <c r="E34" i="1" s="1"/>
  <c r="D18" i="1"/>
  <c r="E18" i="1" s="1"/>
  <c r="F26" i="1" s="1"/>
  <c r="D33" i="1"/>
  <c r="E33" i="1" s="1"/>
  <c r="D17" i="1"/>
  <c r="E17" i="1" s="1"/>
  <c r="D32" i="1"/>
  <c r="E32" i="1" s="1"/>
  <c r="D16" i="1"/>
  <c r="E16" i="1" s="1"/>
  <c r="D31" i="1"/>
  <c r="E31" i="1" s="1"/>
  <c r="D15" i="1"/>
  <c r="E15" i="1" s="1"/>
  <c r="D30" i="1"/>
  <c r="E30" i="1" s="1"/>
  <c r="D14" i="1"/>
  <c r="E14" i="1" s="1"/>
  <c r="F31" i="1" s="1"/>
  <c r="D29" i="1"/>
  <c r="E29" i="1" s="1"/>
  <c r="F10" i="1"/>
  <c r="F9" i="1"/>
  <c r="F11" i="1"/>
  <c r="F12" i="1"/>
  <c r="F13" i="1"/>
  <c r="F14" i="1"/>
  <c r="F15" i="1"/>
  <c r="F17" i="1"/>
  <c r="F18" i="1"/>
  <c r="F20" i="1" l="1"/>
  <c r="F23" i="1"/>
  <c r="F22" i="1"/>
  <c r="F32" i="1"/>
  <c r="F25" i="1"/>
  <c r="F37" i="1"/>
  <c r="F36" i="1"/>
  <c r="F21" i="1"/>
  <c r="F30" i="1"/>
  <c r="F27" i="1"/>
  <c r="F24" i="1"/>
  <c r="F38" i="1"/>
  <c r="F16" i="1"/>
  <c r="F35" i="1"/>
  <c r="F19" i="1"/>
  <c r="F29" i="1"/>
  <c r="F34" i="1"/>
</calcChain>
</file>

<file path=xl/sharedStrings.xml><?xml version="1.0" encoding="utf-8"?>
<sst xmlns="http://schemas.openxmlformats.org/spreadsheetml/2006/main" count="14" uniqueCount="14">
  <si>
    <t>Gender</t>
  </si>
  <si>
    <t>Current Weight (kg)</t>
  </si>
  <si>
    <t>Height (cm)</t>
  </si>
  <si>
    <t>Age</t>
  </si>
  <si>
    <t>Daily BMR/TDEE</t>
  </si>
  <si>
    <t>Date</t>
  </si>
  <si>
    <t>Calories Eaten</t>
  </si>
  <si>
    <t>Exercise Burn</t>
  </si>
  <si>
    <t>TDEE</t>
  </si>
  <si>
    <t>Net Deficit</t>
  </si>
  <si>
    <t>Estimated Weight</t>
  </si>
  <si>
    <t>Male</t>
  </si>
  <si>
    <t>Final Project Conclusion</t>
  </si>
  <si>
    <t>"The implemented model utilizes a Linear Regression Trendline to interpret the relationship between cumulative caloric deficit and mass reduction. With an average daily deficit of approximately 500 kcal, the R² value (Coefficient of Determination) indicates a high level of predictive accuracy for this dataset. Based on the equation y = mx + c displayed on the chart, the user is projected to reach their target weight within the calculated timeframe, successfully validating the physiological energy-balance hypothesis in a data-driven environment."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</si>
</sst>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Arial Unicode MS"/>
    </font>
    <font>
      <sz val="1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" fontId="0" fillId="4" borderId="11" xfId="0" applyNumberFormat="1" applyFill="1" applyBorder="1"/>
    <xf numFmtId="0" fontId="0" fillId="4" borderId="0" xfId="0" applyFill="1" applyBorder="1"/>
    <xf numFmtId="0" fontId="0" fillId="4" borderId="12" xfId="0" applyFill="1" applyBorder="1"/>
    <xf numFmtId="16" fontId="0" fillId="4" borderId="13" xfId="0" applyNumberFormat="1" applyFill="1" applyBorder="1"/>
    <xf numFmtId="0" fontId="0" fillId="4" borderId="14" xfId="0" applyFill="1" applyBorder="1"/>
    <xf numFmtId="0" fontId="0" fillId="4" borderId="15" xfId="0" applyFill="1" applyBorder="1"/>
    <xf numFmtId="0" fontId="1" fillId="2" borderId="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30-Day Weight Loss Forecast Model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7"/>
            <c:dispRSqr val="1"/>
            <c:dispEq val="1"/>
            <c:trendlineLbl>
              <c:layout>
                <c:manualLayout>
                  <c:x val="3.1003937007874016E-5"/>
                  <c:y val="-9.7090851065000525E-2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Sheet1!$A$9:$A$38</c:f>
              <c:numCache>
                <c:formatCode>d\-mmm</c:formatCode>
                <c:ptCount val="30"/>
                <c:pt idx="0">
                  <c:v>46082</c:v>
                </c:pt>
                <c:pt idx="1">
                  <c:v>46083</c:v>
                </c:pt>
                <c:pt idx="2">
                  <c:v>46084</c:v>
                </c:pt>
                <c:pt idx="3">
                  <c:v>46085</c:v>
                </c:pt>
                <c:pt idx="4">
                  <c:v>46086</c:v>
                </c:pt>
                <c:pt idx="5">
                  <c:v>46087</c:v>
                </c:pt>
                <c:pt idx="6">
                  <c:v>46088</c:v>
                </c:pt>
                <c:pt idx="7">
                  <c:v>46089</c:v>
                </c:pt>
                <c:pt idx="8">
                  <c:v>46090</c:v>
                </c:pt>
                <c:pt idx="9">
                  <c:v>46091</c:v>
                </c:pt>
                <c:pt idx="10">
                  <c:v>46092</c:v>
                </c:pt>
                <c:pt idx="11">
                  <c:v>46093</c:v>
                </c:pt>
                <c:pt idx="12">
                  <c:v>46094</c:v>
                </c:pt>
                <c:pt idx="13">
                  <c:v>46095</c:v>
                </c:pt>
                <c:pt idx="14">
                  <c:v>46096</c:v>
                </c:pt>
                <c:pt idx="15">
                  <c:v>46097</c:v>
                </c:pt>
                <c:pt idx="16">
                  <c:v>46098</c:v>
                </c:pt>
                <c:pt idx="17">
                  <c:v>46099</c:v>
                </c:pt>
                <c:pt idx="18">
                  <c:v>46100</c:v>
                </c:pt>
                <c:pt idx="19">
                  <c:v>46101</c:v>
                </c:pt>
                <c:pt idx="20">
                  <c:v>46102</c:v>
                </c:pt>
                <c:pt idx="21">
                  <c:v>46103</c:v>
                </c:pt>
                <c:pt idx="22">
                  <c:v>46104</c:v>
                </c:pt>
                <c:pt idx="23">
                  <c:v>46105</c:v>
                </c:pt>
                <c:pt idx="24">
                  <c:v>46106</c:v>
                </c:pt>
                <c:pt idx="25">
                  <c:v>46107</c:v>
                </c:pt>
                <c:pt idx="26">
                  <c:v>46108</c:v>
                </c:pt>
                <c:pt idx="27">
                  <c:v>46109</c:v>
                </c:pt>
                <c:pt idx="28">
                  <c:v>46110</c:v>
                </c:pt>
                <c:pt idx="29">
                  <c:v>46111</c:v>
                </c:pt>
              </c:numCache>
            </c:numRef>
          </c:xVal>
          <c:yVal>
            <c:numRef>
              <c:f>Sheet1!$F$9:$F$38</c:f>
              <c:numCache>
                <c:formatCode>General</c:formatCode>
                <c:ptCount val="30"/>
                <c:pt idx="0">
                  <c:v>79.95779220779221</c:v>
                </c:pt>
                <c:pt idx="1">
                  <c:v>79.896103896103895</c:v>
                </c:pt>
                <c:pt idx="2">
                  <c:v>79.90584415584415</c:v>
                </c:pt>
                <c:pt idx="3">
                  <c:v>79.811688311688314</c:v>
                </c:pt>
                <c:pt idx="4">
                  <c:v>79.782467532467535</c:v>
                </c:pt>
                <c:pt idx="5">
                  <c:v>79.818181818181813</c:v>
                </c:pt>
                <c:pt idx="6">
                  <c:v>79.762987012987011</c:v>
                </c:pt>
                <c:pt idx="7">
                  <c:v>79.701298701298697</c:v>
                </c:pt>
                <c:pt idx="8">
                  <c:v>79.639610389610397</c:v>
                </c:pt>
                <c:pt idx="9">
                  <c:v>79.577922077922082</c:v>
                </c:pt>
                <c:pt idx="10">
                  <c:v>79.561688311688314</c:v>
                </c:pt>
                <c:pt idx="11">
                  <c:v>79.545454545454547</c:v>
                </c:pt>
                <c:pt idx="12">
                  <c:v>79.529220779220779</c:v>
                </c:pt>
                <c:pt idx="13">
                  <c:v>79.512987012987011</c:v>
                </c:pt>
                <c:pt idx="14">
                  <c:v>79.496753246753244</c:v>
                </c:pt>
                <c:pt idx="15">
                  <c:v>79.402597402597408</c:v>
                </c:pt>
                <c:pt idx="16">
                  <c:v>79.308441558441558</c:v>
                </c:pt>
                <c:pt idx="17">
                  <c:v>79.214285714285708</c:v>
                </c:pt>
                <c:pt idx="18">
                  <c:v>79.120129870129873</c:v>
                </c:pt>
                <c:pt idx="19">
                  <c:v>79.025974025974023</c:v>
                </c:pt>
                <c:pt idx="20">
                  <c:v>78.983766233766232</c:v>
                </c:pt>
                <c:pt idx="21">
                  <c:v>78.941558441558442</c:v>
                </c:pt>
                <c:pt idx="22">
                  <c:v>78.899350649350652</c:v>
                </c:pt>
                <c:pt idx="23">
                  <c:v>78.857142857142861</c:v>
                </c:pt>
                <c:pt idx="24">
                  <c:v>78.814935064935071</c:v>
                </c:pt>
                <c:pt idx="25">
                  <c:v>78.740259740259745</c:v>
                </c:pt>
                <c:pt idx="26">
                  <c:v>78.665584415584419</c:v>
                </c:pt>
                <c:pt idx="27">
                  <c:v>78.590909090909093</c:v>
                </c:pt>
                <c:pt idx="28">
                  <c:v>78.516233766233768</c:v>
                </c:pt>
                <c:pt idx="29">
                  <c:v>78.441558441558442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F7-483D-BB15-B6F28173A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560111"/>
        <c:axId val="1671558671"/>
      </c:scatterChart>
      <c:valAx>
        <c:axId val="167156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Timeline (Days)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58671"/>
        <c:crosses val="autoZero"/>
        <c:crossBetween val="midCat"/>
      </c:valAx>
      <c:valAx>
        <c:axId val="1671558671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Body Mass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56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114300</xdr:rowOff>
    </xdr:from>
    <xdr:to>
      <xdr:col>8</xdr:col>
      <xdr:colOff>0</xdr:colOff>
      <xdr:row>20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98C499-5525-E30E-92A0-BDD0E1E54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624840</xdr:colOff>
      <xdr:row>0</xdr:row>
      <xdr:rowOff>0</xdr:rowOff>
    </xdr:from>
    <xdr:to>
      <xdr:col>6</xdr:col>
      <xdr:colOff>83820</xdr:colOff>
      <xdr:row>6</xdr:row>
      <xdr:rowOff>124617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245F4B1-6F52-E7D1-6FD6-7C49060CB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4240" y="0"/>
          <a:ext cx="3726180" cy="1458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8FF10-1F15-4969-8581-B91E288EA2A7}">
  <dimension ref="A1:H38"/>
  <sheetViews>
    <sheetView tabSelected="1" zoomScaleNormal="100" workbookViewId="0">
      <selection activeCell="A11" sqref="A11"/>
    </sheetView>
  </sheetViews>
  <sheetFormatPr defaultRowHeight="14.4"/>
  <cols>
    <col min="1" max="1" width="23.44140625" customWidth="1"/>
    <col min="2" max="2" width="17.6640625" customWidth="1"/>
    <col min="3" max="3" width="17.77734375" customWidth="1"/>
    <col min="5" max="6" width="17.77734375" customWidth="1"/>
    <col min="8" max="8" width="88.88671875" customWidth="1"/>
  </cols>
  <sheetData>
    <row r="1" spans="1:6" ht="18">
      <c r="A1" s="13" t="s">
        <v>0</v>
      </c>
      <c r="B1" s="14" t="s">
        <v>11</v>
      </c>
    </row>
    <row r="2" spans="1:6" ht="18">
      <c r="A2" s="15" t="s">
        <v>1</v>
      </c>
      <c r="B2" s="16">
        <v>80</v>
      </c>
    </row>
    <row r="3" spans="1:6" ht="18">
      <c r="A3" s="15" t="s">
        <v>2</v>
      </c>
      <c r="B3" s="16">
        <v>180</v>
      </c>
    </row>
    <row r="4" spans="1:6" ht="18">
      <c r="A4" s="15" t="s">
        <v>3</v>
      </c>
      <c r="B4" s="16">
        <v>21</v>
      </c>
    </row>
    <row r="5" spans="1:6" ht="18.600000000000001" thickBot="1">
      <c r="A5" s="17" t="s">
        <v>4</v>
      </c>
      <c r="B5" s="18">
        <f>IF(B1="Male", (10*B2)+(6.25*B3)-(5*B4)+5, (10*B2)+(6.25*B3)-(5*B4)-161)</f>
        <v>1825</v>
      </c>
    </row>
    <row r="7" spans="1:6" ht="15" thickBot="1"/>
    <row r="8" spans="1:6">
      <c r="A8" s="1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3" t="s">
        <v>10</v>
      </c>
    </row>
    <row r="9" spans="1:6">
      <c r="A9" s="4">
        <v>46082</v>
      </c>
      <c r="B9" s="5">
        <v>1800</v>
      </c>
      <c r="C9" s="5">
        <v>300</v>
      </c>
      <c r="D9" s="5">
        <f>$B$5</f>
        <v>1825</v>
      </c>
      <c r="E9" s="5">
        <f>(D9+C9)-B9</f>
        <v>325</v>
      </c>
      <c r="F9" s="6">
        <f>$B$2-(SUM($E$9:E9)/7700)</f>
        <v>79.95779220779221</v>
      </c>
    </row>
    <row r="10" spans="1:6">
      <c r="A10" s="4">
        <v>46083</v>
      </c>
      <c r="B10" s="5">
        <v>1750</v>
      </c>
      <c r="C10" s="5">
        <v>400</v>
      </c>
      <c r="D10" s="5">
        <f t="shared" ref="D10:D38" si="0">$B$5</f>
        <v>1825</v>
      </c>
      <c r="E10" s="5">
        <f t="shared" ref="E10:E38" si="1">(D10+C10)-B10</f>
        <v>475</v>
      </c>
      <c r="F10" s="6">
        <f>$B$2-(SUM($E$9:E10)/7700)</f>
        <v>79.896103896103895</v>
      </c>
    </row>
    <row r="11" spans="1:6">
      <c r="A11" s="4">
        <v>46084</v>
      </c>
      <c r="B11" s="5">
        <v>2100</v>
      </c>
      <c r="C11" s="5">
        <v>200</v>
      </c>
      <c r="D11" s="5">
        <f t="shared" si="0"/>
        <v>1825</v>
      </c>
      <c r="E11" s="5">
        <f t="shared" si="1"/>
        <v>-75</v>
      </c>
      <c r="F11" s="6">
        <f>$B$2-(SUM($E$9:E11)/7700)</f>
        <v>79.90584415584415</v>
      </c>
    </row>
    <row r="12" spans="1:6">
      <c r="A12" s="4">
        <v>46085</v>
      </c>
      <c r="B12" s="5">
        <v>1600</v>
      </c>
      <c r="C12" s="5">
        <v>500</v>
      </c>
      <c r="D12" s="5">
        <f t="shared" si="0"/>
        <v>1825</v>
      </c>
      <c r="E12" s="5">
        <f t="shared" si="1"/>
        <v>725</v>
      </c>
      <c r="F12" s="6">
        <f>$B$2-(SUM($E$9:E12)/7700)</f>
        <v>79.811688311688314</v>
      </c>
    </row>
    <row r="13" spans="1:6">
      <c r="A13" s="4">
        <v>46086</v>
      </c>
      <c r="B13" s="5">
        <v>1900</v>
      </c>
      <c r="C13" s="5">
        <v>300</v>
      </c>
      <c r="D13" s="5">
        <f t="shared" si="0"/>
        <v>1825</v>
      </c>
      <c r="E13" s="5">
        <f t="shared" si="1"/>
        <v>225</v>
      </c>
      <c r="F13" s="6">
        <f>$B$2-(SUM($E$9:E13)/7700)</f>
        <v>79.782467532467535</v>
      </c>
    </row>
    <row r="14" spans="1:6">
      <c r="A14" s="4">
        <v>46087</v>
      </c>
      <c r="B14" s="5">
        <v>2200</v>
      </c>
      <c r="C14" s="5">
        <v>100</v>
      </c>
      <c r="D14" s="5">
        <f t="shared" si="0"/>
        <v>1825</v>
      </c>
      <c r="E14" s="5">
        <f t="shared" si="1"/>
        <v>-275</v>
      </c>
      <c r="F14" s="6">
        <f>$B$2-(SUM($E$9:E14)/7700)</f>
        <v>79.818181818181813</v>
      </c>
    </row>
    <row r="15" spans="1:6">
      <c r="A15" s="4">
        <v>46088</v>
      </c>
      <c r="B15" s="5">
        <v>1800</v>
      </c>
      <c r="C15" s="5">
        <v>400</v>
      </c>
      <c r="D15" s="5">
        <f t="shared" si="0"/>
        <v>1825</v>
      </c>
      <c r="E15" s="5">
        <f t="shared" si="1"/>
        <v>425</v>
      </c>
      <c r="F15" s="6">
        <f>$B$2-(SUM($E$9:E15)/7700)</f>
        <v>79.762987012987011</v>
      </c>
    </row>
    <row r="16" spans="1:6">
      <c r="A16" s="4">
        <v>46089</v>
      </c>
      <c r="B16" s="5">
        <v>1750</v>
      </c>
      <c r="C16" s="5">
        <v>400</v>
      </c>
      <c r="D16" s="5">
        <f t="shared" si="0"/>
        <v>1825</v>
      </c>
      <c r="E16" s="5">
        <f t="shared" si="1"/>
        <v>475</v>
      </c>
      <c r="F16" s="6">
        <f>$B$2-(SUM($E$9:E16)/7700)</f>
        <v>79.701298701298697</v>
      </c>
    </row>
    <row r="17" spans="1:8">
      <c r="A17" s="4">
        <v>46090</v>
      </c>
      <c r="B17" s="5">
        <v>1750</v>
      </c>
      <c r="C17" s="5">
        <v>400</v>
      </c>
      <c r="D17" s="5">
        <f t="shared" si="0"/>
        <v>1825</v>
      </c>
      <c r="E17" s="5">
        <f t="shared" si="1"/>
        <v>475</v>
      </c>
      <c r="F17" s="6">
        <f>$B$2-(SUM($E$9:E17)/7700)</f>
        <v>79.639610389610397</v>
      </c>
    </row>
    <row r="18" spans="1:8">
      <c r="A18" s="4">
        <v>46091</v>
      </c>
      <c r="B18" s="5">
        <v>1750</v>
      </c>
      <c r="C18" s="5">
        <v>400</v>
      </c>
      <c r="D18" s="5">
        <f t="shared" si="0"/>
        <v>1825</v>
      </c>
      <c r="E18" s="5">
        <f t="shared" si="1"/>
        <v>475</v>
      </c>
      <c r="F18" s="6">
        <f>$B$2-(SUM($E$9:E18)/7700)</f>
        <v>79.577922077922082</v>
      </c>
    </row>
    <row r="19" spans="1:8">
      <c r="A19" s="4">
        <v>46092</v>
      </c>
      <c r="B19" s="5">
        <v>1900</v>
      </c>
      <c r="C19" s="5">
        <v>200</v>
      </c>
      <c r="D19" s="5">
        <f t="shared" si="0"/>
        <v>1825</v>
      </c>
      <c r="E19" s="5">
        <f t="shared" si="1"/>
        <v>125</v>
      </c>
      <c r="F19" s="6">
        <f>$B$2-(SUM($E$9:E19)/7700)</f>
        <v>79.561688311688314</v>
      </c>
    </row>
    <row r="20" spans="1:8">
      <c r="A20" s="4">
        <v>46093</v>
      </c>
      <c r="B20" s="5">
        <v>1900</v>
      </c>
      <c r="C20" s="5">
        <v>200</v>
      </c>
      <c r="D20" s="5">
        <f t="shared" si="0"/>
        <v>1825</v>
      </c>
      <c r="E20" s="5">
        <f t="shared" si="1"/>
        <v>125</v>
      </c>
      <c r="F20" s="6">
        <f>$B$2-(SUM($E$9:E20)/7700)</f>
        <v>79.545454545454547</v>
      </c>
    </row>
    <row r="21" spans="1:8" ht="15" thickBot="1">
      <c r="A21" s="4">
        <v>46094</v>
      </c>
      <c r="B21" s="5">
        <v>1900</v>
      </c>
      <c r="C21" s="5">
        <v>200</v>
      </c>
      <c r="D21" s="5">
        <f t="shared" si="0"/>
        <v>1825</v>
      </c>
      <c r="E21" s="5">
        <f t="shared" si="1"/>
        <v>125</v>
      </c>
      <c r="F21" s="6">
        <f>$B$2-(SUM($E$9:E21)/7700)</f>
        <v>79.529220779220779</v>
      </c>
    </row>
    <row r="22" spans="1:8" ht="15" thickBot="1">
      <c r="A22" s="4">
        <v>46095</v>
      </c>
      <c r="B22" s="5">
        <v>1900</v>
      </c>
      <c r="C22" s="5">
        <v>200</v>
      </c>
      <c r="D22" s="5">
        <f t="shared" si="0"/>
        <v>1825</v>
      </c>
      <c r="E22" s="5">
        <f t="shared" si="1"/>
        <v>125</v>
      </c>
      <c r="F22" s="6">
        <f>$B$2-(SUM($E$9:E22)/7700)</f>
        <v>79.512987012987011</v>
      </c>
      <c r="H22" s="10" t="s">
        <v>12</v>
      </c>
    </row>
    <row r="23" spans="1:8">
      <c r="A23" s="4">
        <v>46096</v>
      </c>
      <c r="B23" s="5">
        <v>1900</v>
      </c>
      <c r="C23" s="5">
        <v>200</v>
      </c>
      <c r="D23" s="5">
        <f t="shared" si="0"/>
        <v>1825</v>
      </c>
      <c r="E23" s="5">
        <f t="shared" si="1"/>
        <v>125</v>
      </c>
      <c r="F23" s="6">
        <f>$B$2-(SUM($E$9:E23)/7700)</f>
        <v>79.496753246753244</v>
      </c>
      <c r="H23" s="11" t="s">
        <v>13</v>
      </c>
    </row>
    <row r="24" spans="1:8">
      <c r="A24" s="4">
        <v>46097</v>
      </c>
      <c r="B24" s="5">
        <v>1600</v>
      </c>
      <c r="C24" s="5">
        <v>500</v>
      </c>
      <c r="D24" s="5">
        <f t="shared" si="0"/>
        <v>1825</v>
      </c>
      <c r="E24" s="5">
        <f t="shared" si="1"/>
        <v>725</v>
      </c>
      <c r="F24" s="6">
        <f>$B$2-(SUM($E$9:E24)/7700)</f>
        <v>79.402597402597408</v>
      </c>
      <c r="H24" s="11"/>
    </row>
    <row r="25" spans="1:8">
      <c r="A25" s="4">
        <v>46098</v>
      </c>
      <c r="B25" s="5">
        <v>1600</v>
      </c>
      <c r="C25" s="5">
        <v>500</v>
      </c>
      <c r="D25" s="5">
        <f t="shared" si="0"/>
        <v>1825</v>
      </c>
      <c r="E25" s="5">
        <f t="shared" si="1"/>
        <v>725</v>
      </c>
      <c r="F25" s="6">
        <f>$B$2-(SUM($E$9:E25)/7700)</f>
        <v>79.308441558441558</v>
      </c>
      <c r="H25" s="11"/>
    </row>
    <row r="26" spans="1:8">
      <c r="A26" s="4">
        <v>46099</v>
      </c>
      <c r="B26" s="5">
        <v>1600</v>
      </c>
      <c r="C26" s="5">
        <v>500</v>
      </c>
      <c r="D26" s="5">
        <f t="shared" si="0"/>
        <v>1825</v>
      </c>
      <c r="E26" s="5">
        <f t="shared" si="1"/>
        <v>725</v>
      </c>
      <c r="F26" s="6">
        <f>$B$2-(SUM($E$9:E26)/7700)</f>
        <v>79.214285714285708</v>
      </c>
      <c r="H26" s="11"/>
    </row>
    <row r="27" spans="1:8">
      <c r="A27" s="4">
        <v>46100</v>
      </c>
      <c r="B27" s="5">
        <v>1600</v>
      </c>
      <c r="C27" s="5">
        <v>500</v>
      </c>
      <c r="D27" s="5">
        <f t="shared" si="0"/>
        <v>1825</v>
      </c>
      <c r="E27" s="5">
        <f t="shared" si="1"/>
        <v>725</v>
      </c>
      <c r="F27" s="6">
        <f>$B$2-(SUM($E$9:E27)/7700)</f>
        <v>79.120129870129873</v>
      </c>
      <c r="H27" s="11"/>
    </row>
    <row r="28" spans="1:8">
      <c r="A28" s="4">
        <v>46101</v>
      </c>
      <c r="B28" s="5">
        <v>1600</v>
      </c>
      <c r="C28" s="5">
        <v>500</v>
      </c>
      <c r="D28" s="5">
        <f t="shared" si="0"/>
        <v>1825</v>
      </c>
      <c r="E28" s="5">
        <f t="shared" si="1"/>
        <v>725</v>
      </c>
      <c r="F28" s="6">
        <f>$B$2-(SUM($E$9:E28)/7700)</f>
        <v>79.025974025974023</v>
      </c>
      <c r="H28" s="11"/>
    </row>
    <row r="29" spans="1:8">
      <c r="A29" s="4">
        <v>46102</v>
      </c>
      <c r="B29" s="5">
        <v>1850</v>
      </c>
      <c r="C29" s="5">
        <v>350</v>
      </c>
      <c r="D29" s="5">
        <f t="shared" si="0"/>
        <v>1825</v>
      </c>
      <c r="E29" s="5">
        <f t="shared" si="1"/>
        <v>325</v>
      </c>
      <c r="F29" s="6">
        <f>$B$2-(SUM($E$9:E29)/7700)</f>
        <v>78.983766233766232</v>
      </c>
      <c r="H29" s="11"/>
    </row>
    <row r="30" spans="1:8">
      <c r="A30" s="4">
        <v>46103</v>
      </c>
      <c r="B30" s="5">
        <v>1850</v>
      </c>
      <c r="C30" s="5">
        <v>350</v>
      </c>
      <c r="D30" s="5">
        <f t="shared" si="0"/>
        <v>1825</v>
      </c>
      <c r="E30" s="5">
        <f t="shared" si="1"/>
        <v>325</v>
      </c>
      <c r="F30" s="6">
        <f>$B$2-(SUM($E$9:E30)/7700)</f>
        <v>78.941558441558442</v>
      </c>
      <c r="H30" s="11"/>
    </row>
    <row r="31" spans="1:8">
      <c r="A31" s="4">
        <v>46104</v>
      </c>
      <c r="B31" s="5">
        <v>1850</v>
      </c>
      <c r="C31" s="5">
        <v>350</v>
      </c>
      <c r="D31" s="5">
        <f t="shared" si="0"/>
        <v>1825</v>
      </c>
      <c r="E31" s="5">
        <f t="shared" si="1"/>
        <v>325</v>
      </c>
      <c r="F31" s="6">
        <f>$B$2-(SUM($E$9:E31)/7700)</f>
        <v>78.899350649350652</v>
      </c>
      <c r="H31" s="11"/>
    </row>
    <row r="32" spans="1:8">
      <c r="A32" s="4">
        <v>46105</v>
      </c>
      <c r="B32" s="5">
        <v>1850</v>
      </c>
      <c r="C32" s="5">
        <v>350</v>
      </c>
      <c r="D32" s="5">
        <f t="shared" si="0"/>
        <v>1825</v>
      </c>
      <c r="E32" s="5">
        <f t="shared" si="1"/>
        <v>325</v>
      </c>
      <c r="F32" s="6">
        <f>$B$2-(SUM($E$9:E32)/7700)</f>
        <v>78.857142857142861</v>
      </c>
      <c r="H32" s="11"/>
    </row>
    <row r="33" spans="1:8">
      <c r="A33" s="4">
        <v>46106</v>
      </c>
      <c r="B33" s="5">
        <v>1850</v>
      </c>
      <c r="C33" s="5">
        <v>350</v>
      </c>
      <c r="D33" s="5">
        <f t="shared" si="0"/>
        <v>1825</v>
      </c>
      <c r="E33" s="5">
        <f t="shared" si="1"/>
        <v>325</v>
      </c>
      <c r="F33" s="6">
        <f>$B$2-(SUM($E$9:E33)/7700)</f>
        <v>78.814935064935071</v>
      </c>
      <c r="H33" s="11"/>
    </row>
    <row r="34" spans="1:8">
      <c r="A34" s="4">
        <v>46107</v>
      </c>
      <c r="B34" s="5">
        <v>1700</v>
      </c>
      <c r="C34" s="5">
        <v>450</v>
      </c>
      <c r="D34" s="5">
        <f t="shared" si="0"/>
        <v>1825</v>
      </c>
      <c r="E34" s="5">
        <f t="shared" si="1"/>
        <v>575</v>
      </c>
      <c r="F34" s="6">
        <f>$B$2-(SUM($E$9:E34)/7700)</f>
        <v>78.740259740259745</v>
      </c>
      <c r="H34" s="11"/>
    </row>
    <row r="35" spans="1:8">
      <c r="A35" s="4">
        <v>46108</v>
      </c>
      <c r="B35" s="5">
        <v>1700</v>
      </c>
      <c r="C35" s="5">
        <v>450</v>
      </c>
      <c r="D35" s="5">
        <f t="shared" si="0"/>
        <v>1825</v>
      </c>
      <c r="E35" s="5">
        <f t="shared" si="1"/>
        <v>575</v>
      </c>
      <c r="F35" s="6">
        <f>$B$2-(SUM($E$9:E35)/7700)</f>
        <v>78.665584415584419</v>
      </c>
      <c r="H35" s="11"/>
    </row>
    <row r="36" spans="1:8">
      <c r="A36" s="4">
        <v>46109</v>
      </c>
      <c r="B36" s="5">
        <v>1700</v>
      </c>
      <c r="C36" s="5">
        <v>450</v>
      </c>
      <c r="D36" s="5">
        <f t="shared" si="0"/>
        <v>1825</v>
      </c>
      <c r="E36" s="5">
        <f t="shared" si="1"/>
        <v>575</v>
      </c>
      <c r="F36" s="6">
        <f>$B$2-(SUM($E$9:E36)/7700)</f>
        <v>78.590909090909093</v>
      </c>
      <c r="H36" s="11"/>
    </row>
    <row r="37" spans="1:8">
      <c r="A37" s="4">
        <v>46110</v>
      </c>
      <c r="B37" s="5">
        <v>1700</v>
      </c>
      <c r="C37" s="5">
        <v>450</v>
      </c>
      <c r="D37" s="5">
        <f t="shared" si="0"/>
        <v>1825</v>
      </c>
      <c r="E37" s="5">
        <f t="shared" si="1"/>
        <v>575</v>
      </c>
      <c r="F37" s="6">
        <f>$B$2-(SUM($E$9:E37)/7700)</f>
        <v>78.516233766233768</v>
      </c>
      <c r="H37" s="11"/>
    </row>
    <row r="38" spans="1:8" ht="15" thickBot="1">
      <c r="A38" s="7">
        <v>46111</v>
      </c>
      <c r="B38" s="8">
        <v>1700</v>
      </c>
      <c r="C38" s="8">
        <v>450</v>
      </c>
      <c r="D38" s="8">
        <f t="shared" si="0"/>
        <v>1825</v>
      </c>
      <c r="E38" s="8">
        <f t="shared" si="1"/>
        <v>575</v>
      </c>
      <c r="F38" s="9">
        <f>$B$2-(SUM($E$9:E38)/7700)</f>
        <v>78.441558441558442</v>
      </c>
      <c r="H38" s="12"/>
    </row>
  </sheetData>
  <mergeCells count="1">
    <mergeCell ref="H23:H38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Panwar</dc:creator>
  <cp:lastModifiedBy>Devesh Panwar</cp:lastModifiedBy>
  <dcterms:created xsi:type="dcterms:W3CDTF">2026-03-28T06:29:38Z</dcterms:created>
  <dcterms:modified xsi:type="dcterms:W3CDTF">2026-03-28T07:58:08Z</dcterms:modified>
</cp:coreProperties>
</file>